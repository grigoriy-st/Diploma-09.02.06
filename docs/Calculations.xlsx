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Активное" sheetId="1" r:id="rId1"/>
    <sheet name="Пассивное" sheetId="2" r:id="rId2"/>
    <sheet name="ПО(-)" sheetId="3" r:id="rId3"/>
    <sheet name="Оплата труда" sheetId="4" r:id="rId4"/>
    <sheet name="Смета работ" sheetId="6" r:id="rId5"/>
    <sheet name="ИТОГО" sheetId="5" r:id="rId6"/>
  </sheets>
  <calcPr calcId="152511"/>
</workbook>
</file>

<file path=xl/calcChain.xml><?xml version="1.0" encoding="utf-8"?>
<calcChain xmlns="http://schemas.openxmlformats.org/spreadsheetml/2006/main">
  <c r="B20" i="5" l="1"/>
  <c r="B19" i="5"/>
  <c r="B17" i="5"/>
  <c r="B18" i="5"/>
  <c r="B16" i="5"/>
  <c r="E2" i="3"/>
  <c r="B12" i="5"/>
  <c r="B11" i="5"/>
  <c r="B10" i="5"/>
  <c r="B9" i="5"/>
  <c r="D4" i="6"/>
  <c r="D5" i="6"/>
  <c r="C4" i="6"/>
  <c r="C5" i="6"/>
  <c r="C3" i="6"/>
  <c r="B4" i="6"/>
  <c r="B5" i="6"/>
  <c r="B3" i="6"/>
  <c r="D3" i="6" s="1"/>
  <c r="D6" i="6" s="1"/>
  <c r="B9" i="6" s="1"/>
  <c r="B11" i="6" s="1"/>
  <c r="B4" i="5"/>
  <c r="B5" i="5" s="1"/>
  <c r="B3" i="5"/>
  <c r="B17" i="1"/>
  <c r="F3" i="1"/>
  <c r="F4" i="1"/>
  <c r="F5" i="1"/>
  <c r="F6" i="1"/>
  <c r="F2" i="1"/>
  <c r="F3" i="2" l="1"/>
  <c r="F4" i="2"/>
  <c r="F5" i="2"/>
  <c r="F6" i="2"/>
  <c r="F7" i="2"/>
  <c r="F8" i="2"/>
  <c r="F9" i="2"/>
  <c r="F10" i="2"/>
  <c r="F2" i="2"/>
  <c r="B17" i="2"/>
</calcChain>
</file>

<file path=xl/sharedStrings.xml><?xml version="1.0" encoding="utf-8"?>
<sst xmlns="http://schemas.openxmlformats.org/spreadsheetml/2006/main" count="95" uniqueCount="70">
  <si>
    <t>№</t>
  </si>
  <si>
    <t>Наименование</t>
  </si>
  <si>
    <t>Кол-во</t>
  </si>
  <si>
    <t>Цена за ед., руб.</t>
  </si>
  <si>
    <t>Сумма, руб.</t>
  </si>
  <si>
    <t>Ссылка на источник</t>
  </si>
  <si>
    <t>Точка доступа</t>
  </si>
  <si>
    <t>Eltex WEP-200L 802.11 ac</t>
  </si>
  <si>
    <t>Ethernet-коммутатор</t>
  </si>
  <si>
    <t>Eltex MES2408</t>
  </si>
  <si>
    <t>Сервер (ПК в сборке)</t>
  </si>
  <si>
    <t>Характеристики</t>
  </si>
  <si>
    <t>Розетка RJ-45 (одноместная)</t>
  </si>
  <si>
    <t>Розетка RJ-45 (двухместная)</t>
  </si>
  <si>
    <t>Патч-панель 12 портов</t>
  </si>
  <si>
    <t>Коннекторы RJ-45 (100 шт.)</t>
  </si>
  <si>
    <t>Маркеры кабельные (50 шт.)</t>
  </si>
  <si>
    <t>Самоклеящиеся</t>
  </si>
  <si>
    <t>Стяжки нейлоновые (100 шт.)</t>
  </si>
  <si>
    <t>100×2,5 мм</t>
  </si>
  <si>
    <t>Кронштейн для точки доступа</t>
  </si>
  <si>
    <t>Должность</t>
  </si>
  <si>
    <t>Системный архитектор</t>
  </si>
  <si>
    <t>Инженер-монтажник</t>
  </si>
  <si>
    <t>Инженер-наладчик</t>
  </si>
  <si>
    <t>Этап</t>
  </si>
  <si>
    <t>Трудоёмкость, чел.-час</t>
  </si>
  <si>
    <t>Разработка проекта и документации</t>
  </si>
  <si>
    <t>Монтаж и установка</t>
  </si>
  <si>
    <t>Пуско-наладочные работы</t>
  </si>
  <si>
    <t>Оплата труда администратора (0,5 ставки)</t>
  </si>
  <si>
    <t>Активное оборудование</t>
  </si>
  <si>
    <t>Пассивное оборудование</t>
  </si>
  <si>
    <t>Статья затрат</t>
  </si>
  <si>
    <t>Расчёт</t>
  </si>
  <si>
    <t>Амортизация оборудования</t>
  </si>
  <si>
    <t>Затраты на электроэнергию</t>
  </si>
  <si>
    <t>Страховые взносы на администратора</t>
  </si>
  <si>
    <t>Оплата труда работников</t>
  </si>
  <si>
    <t>Страховые взносы</t>
  </si>
  <si>
    <t>Итого:</t>
  </si>
  <si>
    <t>Кол-во лицензий</t>
  </si>
  <si>
    <t>Astra Linux Special Edition</t>
  </si>
  <si>
    <t>Модель / Характеристики</t>
  </si>
  <si>
    <t>Intel Core i5 / 16 ГБ ОЗУ / 2×1 ТБ HDD (RAID 1)</t>
  </si>
  <si>
    <t>ИБП для сервера</t>
  </si>
  <si>
    <t>1000 ВА</t>
  </si>
  <si>
    <t>ИБП для коммутатора</t>
  </si>
  <si>
    <t>500 ВА</t>
  </si>
  <si>
    <t>Кабель UTP cat.5e (бухта 305 м)</t>
  </si>
  <si>
    <t>Медный, 24 AWG</t>
  </si>
  <si>
    <t>Кабельный канал 40×20 мм (2 м)</t>
  </si>
  <si>
    <t>Пластиковый</t>
  </si>
  <si>
    <t>Категория 5e</t>
  </si>
  <si>
    <t>Категория 5e, 19"</t>
  </si>
  <si>
    <t>Для настенного/потолочного монтажа</t>
  </si>
  <si>
    <t>Часовая ставка, руб.</t>
  </si>
  <si>
    <t>Категория</t>
  </si>
  <si>
    <t>Итого</t>
  </si>
  <si>
    <t>Цена</t>
  </si>
  <si>
    <t>Сумма</t>
  </si>
  <si>
    <t>Разработка проекта</t>
  </si>
  <si>
    <t>Ставка страх. Взносов</t>
  </si>
  <si>
    <t>Час. ставка, руб.</t>
  </si>
  <si>
    <t>Оборудование и материалы</t>
  </si>
  <si>
    <t>Оборудование</t>
  </si>
  <si>
    <t>Сводная смета стоимости работ (единовременные затраты)</t>
  </si>
  <si>
    <t>Затраты на оплату труда работников</t>
  </si>
  <si>
    <t>Трудоёмкость и стоимость оплаты труда работников:</t>
  </si>
  <si>
    <t>Годовые эксплуатационные затраты (после ввода сети в эксплуатацию)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</si>
</sst>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_-* #,##0.00\ [$₽-419]_-;\-* #,##0.00\ [$₽-419]_-;_-* &quot;-&quot;??\ [$₽-419]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171" fontId="3" fillId="0" borderId="0" xfId="0" applyNumberFormat="1" applyFont="1"/>
    <xf numFmtId="171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9" fontId="3" fillId="0" borderId="0" xfId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71" fontId="3" fillId="0" borderId="0" xfId="0" applyNumberFormat="1" applyFont="1" applyAlignment="1">
      <alignment horizontal="center" wrapText="1"/>
    </xf>
    <xf numFmtId="171" fontId="2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C27" sqref="C27"/>
    </sheetView>
  </sheetViews>
  <sheetFormatPr defaultRowHeight="15" x14ac:dyDescent="0.25"/>
  <cols>
    <col min="1" max="1" width="7.85546875" bestFit="1" customWidth="1"/>
    <col min="2" max="2" width="22" bestFit="1" customWidth="1"/>
    <col min="3" max="3" width="46.140625" customWidth="1"/>
    <col min="4" max="4" width="7.85546875" bestFit="1" customWidth="1"/>
    <col min="5" max="5" width="12.140625" bestFit="1" customWidth="1"/>
    <col min="6" max="6" width="13.28515625" bestFit="1" customWidth="1"/>
  </cols>
  <sheetData>
    <row r="1" spans="1:6" x14ac:dyDescent="0.25">
      <c r="A1" s="1" t="s">
        <v>0</v>
      </c>
      <c r="B1" s="1" t="s">
        <v>1</v>
      </c>
      <c r="C1" s="1" t="s">
        <v>43</v>
      </c>
      <c r="D1" s="1" t="s">
        <v>2</v>
      </c>
      <c r="E1" s="1" t="s">
        <v>59</v>
      </c>
      <c r="F1" s="1" t="s">
        <v>60</v>
      </c>
    </row>
    <row r="2" spans="1:6" x14ac:dyDescent="0.25">
      <c r="A2" s="2">
        <v>1</v>
      </c>
      <c r="B2" s="2" t="s">
        <v>6</v>
      </c>
      <c r="C2" s="2" t="s">
        <v>7</v>
      </c>
      <c r="D2" s="2">
        <v>4</v>
      </c>
      <c r="E2" s="3">
        <v>71205</v>
      </c>
      <c r="F2" s="3">
        <f>D2*E2</f>
        <v>284820</v>
      </c>
    </row>
    <row r="3" spans="1:6" x14ac:dyDescent="0.25">
      <c r="A3" s="2">
        <v>2</v>
      </c>
      <c r="B3" s="2" t="s">
        <v>8</v>
      </c>
      <c r="C3" s="2" t="s">
        <v>9</v>
      </c>
      <c r="D3" s="2">
        <v>1</v>
      </c>
      <c r="E3" s="3">
        <v>66791</v>
      </c>
      <c r="F3" s="3">
        <f t="shared" ref="F3:F6" si="0">D3*E3</f>
        <v>66791</v>
      </c>
    </row>
    <row r="4" spans="1:6" x14ac:dyDescent="0.25">
      <c r="A4" s="2">
        <v>3</v>
      </c>
      <c r="B4" s="2" t="s">
        <v>10</v>
      </c>
      <c r="C4" s="2" t="s">
        <v>44</v>
      </c>
      <c r="D4" s="2">
        <v>1</v>
      </c>
      <c r="E4" s="3">
        <v>52000</v>
      </c>
      <c r="F4" s="3">
        <f t="shared" si="0"/>
        <v>52000</v>
      </c>
    </row>
    <row r="5" spans="1:6" x14ac:dyDescent="0.25">
      <c r="A5" s="2">
        <v>4</v>
      </c>
      <c r="B5" s="2" t="s">
        <v>45</v>
      </c>
      <c r="C5" s="2" t="s">
        <v>46</v>
      </c>
      <c r="D5" s="2">
        <v>1</v>
      </c>
      <c r="E5" s="3">
        <v>7490</v>
      </c>
      <c r="F5" s="3">
        <f t="shared" si="0"/>
        <v>7490</v>
      </c>
    </row>
    <row r="6" spans="1:6" x14ac:dyDescent="0.25">
      <c r="A6" s="2">
        <v>5</v>
      </c>
      <c r="B6" s="2" t="s">
        <v>47</v>
      </c>
      <c r="C6" s="2" t="s">
        <v>48</v>
      </c>
      <c r="D6" s="2">
        <v>1</v>
      </c>
      <c r="E6" s="3">
        <v>5990</v>
      </c>
      <c r="F6" s="3">
        <f t="shared" si="0"/>
        <v>5990</v>
      </c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1" t="s">
        <v>40</v>
      </c>
      <c r="B17" s="3">
        <f>SUM(F2:F6)</f>
        <v>417091</v>
      </c>
      <c r="C17" s="2"/>
      <c r="D17" s="2"/>
      <c r="E17" s="2"/>
      <c r="F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G1" sqref="A1:G1"/>
    </sheetView>
  </sheetViews>
  <sheetFormatPr defaultRowHeight="15" x14ac:dyDescent="0.25"/>
  <cols>
    <col min="1" max="1" width="7.85546875" style="2" bestFit="1" customWidth="1"/>
    <col min="2" max="2" width="31.42578125" style="2" bestFit="1" customWidth="1"/>
    <col min="3" max="3" width="35.7109375" style="2" bestFit="1" customWidth="1"/>
    <col min="4" max="4" width="7.140625" style="2" bestFit="1" customWidth="1"/>
    <col min="5" max="5" width="16.140625" style="2" bestFit="1" customWidth="1"/>
    <col min="6" max="6" width="12" style="2" bestFit="1" customWidth="1"/>
    <col min="7" max="7" width="19.42578125" style="2" bestFit="1" customWidth="1"/>
    <col min="8" max="16384" width="9.140625" style="2"/>
  </cols>
  <sheetData>
    <row r="1" spans="1:7" x14ac:dyDescent="0.25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1</v>
      </c>
      <c r="B2" s="2" t="s">
        <v>49</v>
      </c>
      <c r="C2" s="2" t="s">
        <v>50</v>
      </c>
      <c r="D2" s="2">
        <v>1</v>
      </c>
      <c r="E2" s="3">
        <v>4850</v>
      </c>
      <c r="F2" s="4">
        <f>D2*E2</f>
        <v>4850</v>
      </c>
    </row>
    <row r="3" spans="1:7" x14ac:dyDescent="0.25">
      <c r="A3" s="2">
        <v>2</v>
      </c>
      <c r="B3" s="2" t="s">
        <v>51</v>
      </c>
      <c r="C3" s="2" t="s">
        <v>52</v>
      </c>
      <c r="D3" s="2">
        <v>25</v>
      </c>
      <c r="E3" s="3">
        <v>180</v>
      </c>
      <c r="F3" s="4">
        <f t="shared" ref="F3:F10" si="0">D3*E3</f>
        <v>4500</v>
      </c>
    </row>
    <row r="4" spans="1:7" x14ac:dyDescent="0.25">
      <c r="A4" s="2">
        <v>3</v>
      </c>
      <c r="B4" s="2" t="s">
        <v>12</v>
      </c>
      <c r="C4" s="2" t="s">
        <v>53</v>
      </c>
      <c r="D4" s="2">
        <v>10</v>
      </c>
      <c r="E4" s="3">
        <v>150</v>
      </c>
      <c r="F4" s="4">
        <f t="shared" si="0"/>
        <v>1500</v>
      </c>
    </row>
    <row r="5" spans="1:7" x14ac:dyDescent="0.25">
      <c r="A5" s="2">
        <v>4</v>
      </c>
      <c r="B5" s="2" t="s">
        <v>13</v>
      </c>
      <c r="C5" s="2" t="s">
        <v>53</v>
      </c>
      <c r="D5" s="2">
        <v>5</v>
      </c>
      <c r="E5" s="3">
        <v>250</v>
      </c>
      <c r="F5" s="4">
        <f t="shared" si="0"/>
        <v>1250</v>
      </c>
    </row>
    <row r="6" spans="1:7" x14ac:dyDescent="0.25">
      <c r="A6" s="2">
        <v>5</v>
      </c>
      <c r="B6" s="2" t="s">
        <v>14</v>
      </c>
      <c r="C6" s="2" t="s">
        <v>54</v>
      </c>
      <c r="D6" s="2">
        <v>2</v>
      </c>
      <c r="E6" s="3">
        <v>2100</v>
      </c>
      <c r="F6" s="4">
        <f t="shared" si="0"/>
        <v>4200</v>
      </c>
    </row>
    <row r="7" spans="1:7" x14ac:dyDescent="0.25">
      <c r="A7" s="2">
        <v>6</v>
      </c>
      <c r="B7" s="2" t="s">
        <v>15</v>
      </c>
      <c r="C7" s="2" t="s">
        <v>53</v>
      </c>
      <c r="D7" s="2">
        <v>1</v>
      </c>
      <c r="E7" s="3">
        <v>500</v>
      </c>
      <c r="F7" s="4">
        <f t="shared" si="0"/>
        <v>500</v>
      </c>
    </row>
    <row r="8" spans="1:7" x14ac:dyDescent="0.25">
      <c r="A8" s="2">
        <v>7</v>
      </c>
      <c r="B8" s="2" t="s">
        <v>16</v>
      </c>
      <c r="C8" s="2" t="s">
        <v>17</v>
      </c>
      <c r="D8" s="2">
        <v>1</v>
      </c>
      <c r="E8" s="3">
        <v>300</v>
      </c>
      <c r="F8" s="4">
        <f t="shared" si="0"/>
        <v>300</v>
      </c>
    </row>
    <row r="9" spans="1:7" x14ac:dyDescent="0.25">
      <c r="A9" s="2">
        <v>8</v>
      </c>
      <c r="B9" s="2" t="s">
        <v>18</v>
      </c>
      <c r="C9" s="2" t="s">
        <v>19</v>
      </c>
      <c r="D9" s="2">
        <v>1</v>
      </c>
      <c r="E9" s="3">
        <v>200</v>
      </c>
      <c r="F9" s="4">
        <f t="shared" si="0"/>
        <v>200</v>
      </c>
    </row>
    <row r="10" spans="1:7" x14ac:dyDescent="0.25">
      <c r="A10" s="2">
        <v>9</v>
      </c>
      <c r="B10" s="2" t="s">
        <v>20</v>
      </c>
      <c r="C10" s="2" t="s">
        <v>55</v>
      </c>
      <c r="D10" s="2">
        <v>4</v>
      </c>
      <c r="E10" s="3">
        <v>500</v>
      </c>
      <c r="F10" s="4">
        <f t="shared" si="0"/>
        <v>2000</v>
      </c>
    </row>
    <row r="17" spans="1:2" x14ac:dyDescent="0.25">
      <c r="A17" s="1" t="s">
        <v>40</v>
      </c>
      <c r="B17" s="13">
        <f>SUM(F2:F10)</f>
        <v>19300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2" sqref="F12"/>
    </sheetView>
  </sheetViews>
  <sheetFormatPr defaultRowHeight="15" x14ac:dyDescent="0.25"/>
  <cols>
    <col min="1" max="1" width="9.140625" style="2"/>
    <col min="2" max="2" width="24.28515625" style="2" bestFit="1" customWidth="1"/>
    <col min="3" max="3" width="15.7109375" style="2" bestFit="1" customWidth="1"/>
    <col min="4" max="4" width="16.140625" style="2" bestFit="1" customWidth="1"/>
    <col min="5" max="5" width="12" style="2" bestFit="1" customWidth="1"/>
    <col min="6" max="16384" width="9.140625" style="2"/>
  </cols>
  <sheetData>
    <row r="1" spans="1:6" x14ac:dyDescent="0.25">
      <c r="A1" s="2" t="s">
        <v>0</v>
      </c>
      <c r="B1" s="2" t="s">
        <v>1</v>
      </c>
      <c r="C1" s="2" t="s">
        <v>41</v>
      </c>
      <c r="D1" s="2" t="s">
        <v>3</v>
      </c>
      <c r="E1" s="2" t="s">
        <v>4</v>
      </c>
      <c r="F1" s="2" t="s">
        <v>5</v>
      </c>
    </row>
    <row r="2" spans="1:6" x14ac:dyDescent="0.25">
      <c r="A2" s="2">
        <v>1</v>
      </c>
      <c r="B2" s="2" t="s">
        <v>42</v>
      </c>
      <c r="C2" s="2">
        <v>3</v>
      </c>
      <c r="D2" s="3">
        <v>21675</v>
      </c>
      <c r="E2" s="3">
        <f>C2*D2</f>
        <v>65025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5" sqref="D3:D5"/>
    </sheetView>
  </sheetViews>
  <sheetFormatPr defaultRowHeight="15" x14ac:dyDescent="0.25"/>
  <cols>
    <col min="1" max="1" width="35.28515625" style="2" bestFit="1" customWidth="1"/>
    <col min="2" max="2" width="22.5703125" style="2" bestFit="1" customWidth="1"/>
    <col min="3" max="3" width="22.7109375" style="2" bestFit="1" customWidth="1"/>
    <col min="4" max="4" width="9.7109375" style="2" bestFit="1" customWidth="1"/>
    <col min="5" max="16384" width="9.140625" style="2"/>
  </cols>
  <sheetData>
    <row r="1" spans="1:4" ht="18.75" x14ac:dyDescent="0.3">
      <c r="A1" s="5" t="s">
        <v>68</v>
      </c>
      <c r="B1" s="5"/>
      <c r="C1" s="5"/>
      <c r="D1" s="5"/>
    </row>
    <row r="2" spans="1:4" x14ac:dyDescent="0.25">
      <c r="A2" s="1" t="s">
        <v>25</v>
      </c>
      <c r="B2" s="1" t="s">
        <v>21</v>
      </c>
      <c r="C2" s="1" t="s">
        <v>26</v>
      </c>
      <c r="D2" s="1" t="s">
        <v>56</v>
      </c>
    </row>
    <row r="3" spans="1:4" x14ac:dyDescent="0.25">
      <c r="A3" s="2" t="s">
        <v>27</v>
      </c>
      <c r="B3" s="2" t="s">
        <v>22</v>
      </c>
      <c r="C3" s="2">
        <v>80</v>
      </c>
      <c r="D3" s="3">
        <v>357</v>
      </c>
    </row>
    <row r="4" spans="1:4" x14ac:dyDescent="0.25">
      <c r="A4" s="2" t="s">
        <v>28</v>
      </c>
      <c r="B4" s="2" t="s">
        <v>23</v>
      </c>
      <c r="C4" s="2">
        <v>120</v>
      </c>
      <c r="D4" s="3">
        <v>268</v>
      </c>
    </row>
    <row r="5" spans="1:4" x14ac:dyDescent="0.25">
      <c r="A5" s="2" t="s">
        <v>29</v>
      </c>
      <c r="B5" s="2" t="s">
        <v>24</v>
      </c>
      <c r="C5" s="2">
        <v>100</v>
      </c>
      <c r="D5" s="3">
        <v>327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16" sqref="D16"/>
    </sheetView>
  </sheetViews>
  <sheetFormatPr defaultRowHeight="15" x14ac:dyDescent="0.25"/>
  <cols>
    <col min="1" max="1" width="26" style="2" bestFit="1" customWidth="1"/>
    <col min="2" max="2" width="16.5703125" style="2" bestFit="1" customWidth="1"/>
    <col min="3" max="3" width="12.140625" style="2" bestFit="1" customWidth="1"/>
    <col min="4" max="4" width="12.28515625" style="2" customWidth="1"/>
    <col min="5" max="16384" width="9.140625" style="2"/>
  </cols>
  <sheetData>
    <row r="1" spans="1:4" ht="18.75" customHeight="1" x14ac:dyDescent="0.3">
      <c r="A1" s="6" t="s">
        <v>67</v>
      </c>
      <c r="B1" s="6"/>
      <c r="C1" s="6"/>
      <c r="D1" s="6"/>
    </row>
    <row r="2" spans="1:4" x14ac:dyDescent="0.25">
      <c r="A2" s="1" t="s">
        <v>25</v>
      </c>
      <c r="B2" s="1" t="s">
        <v>26</v>
      </c>
      <c r="C2" s="1" t="s">
        <v>63</v>
      </c>
      <c r="D2" s="1" t="s">
        <v>4</v>
      </c>
    </row>
    <row r="3" spans="1:4" x14ac:dyDescent="0.25">
      <c r="A3" s="2" t="s">
        <v>61</v>
      </c>
      <c r="B3" s="2">
        <f>'Оплата труда'!C3</f>
        <v>80</v>
      </c>
      <c r="C3" s="3">
        <f>'Оплата труда'!D3</f>
        <v>357</v>
      </c>
      <c r="D3" s="3">
        <f>B3*C3</f>
        <v>28560</v>
      </c>
    </row>
    <row r="4" spans="1:4" x14ac:dyDescent="0.25">
      <c r="A4" s="2" t="s">
        <v>28</v>
      </c>
      <c r="B4" s="2">
        <f>'Оплата труда'!C4</f>
        <v>120</v>
      </c>
      <c r="C4" s="3">
        <f>'Оплата труда'!D4</f>
        <v>268</v>
      </c>
      <c r="D4" s="3">
        <f t="shared" ref="D4:D5" si="0">B4*C4</f>
        <v>32160</v>
      </c>
    </row>
    <row r="5" spans="1:4" x14ac:dyDescent="0.25">
      <c r="A5" s="2" t="s">
        <v>29</v>
      </c>
      <c r="B5" s="2">
        <f>'Оплата труда'!C5</f>
        <v>100</v>
      </c>
      <c r="C5" s="3">
        <f>'Оплата труда'!D5</f>
        <v>327</v>
      </c>
      <c r="D5" s="3">
        <f t="shared" si="0"/>
        <v>32700</v>
      </c>
    </row>
    <row r="6" spans="1:4" x14ac:dyDescent="0.25">
      <c r="A6" s="2" t="s">
        <v>58</v>
      </c>
      <c r="D6" s="3">
        <f>SUM(D3:D5)</f>
        <v>93420</v>
      </c>
    </row>
    <row r="8" spans="1:4" ht="18.75" x14ac:dyDescent="0.3">
      <c r="A8" s="6" t="s">
        <v>39</v>
      </c>
      <c r="B8" s="6"/>
      <c r="C8" s="7"/>
    </row>
    <row r="9" spans="1:4" x14ac:dyDescent="0.25">
      <c r="A9" s="2" t="s">
        <v>38</v>
      </c>
      <c r="B9" s="3">
        <f>D6</f>
        <v>93420</v>
      </c>
    </row>
    <row r="10" spans="1:4" x14ac:dyDescent="0.25">
      <c r="A10" s="2" t="s">
        <v>62</v>
      </c>
      <c r="B10" s="8">
        <v>0.30199999999999999</v>
      </c>
    </row>
    <row r="11" spans="1:4" x14ac:dyDescent="0.25">
      <c r="A11" s="2" t="s">
        <v>58</v>
      </c>
      <c r="B11" s="3">
        <f>B9*B10</f>
        <v>28212.84</v>
      </c>
    </row>
  </sheetData>
  <mergeCells count="2">
    <mergeCell ref="A1:D1"/>
    <mergeCell ref="A8:B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F10" sqref="F10"/>
    </sheetView>
  </sheetViews>
  <sheetFormatPr defaultRowHeight="15" x14ac:dyDescent="0.25"/>
  <cols>
    <col min="1" max="1" width="40.42578125" style="2" bestFit="1" customWidth="1"/>
    <col min="2" max="2" width="18.5703125" style="2" customWidth="1"/>
    <col min="3" max="16384" width="9.140625" style="2"/>
  </cols>
  <sheetData>
    <row r="1" spans="1:3" ht="18.75" x14ac:dyDescent="0.3">
      <c r="A1" s="6" t="s">
        <v>65</v>
      </c>
      <c r="B1" s="6"/>
    </row>
    <row r="2" spans="1:3" x14ac:dyDescent="0.25">
      <c r="A2" s="9" t="s">
        <v>57</v>
      </c>
      <c r="B2" s="9" t="s">
        <v>4</v>
      </c>
    </row>
    <row r="3" spans="1:3" x14ac:dyDescent="0.25">
      <c r="A3" s="2" t="s">
        <v>31</v>
      </c>
      <c r="B3" s="3">
        <f>Активное!B17</f>
        <v>417091</v>
      </c>
    </row>
    <row r="4" spans="1:3" x14ac:dyDescent="0.25">
      <c r="A4" s="2" t="s">
        <v>32</v>
      </c>
      <c r="B4" s="3">
        <f>Пассивное!B17</f>
        <v>19300</v>
      </c>
    </row>
    <row r="5" spans="1:3" x14ac:dyDescent="0.25">
      <c r="A5" s="1" t="s">
        <v>40</v>
      </c>
      <c r="B5" s="13">
        <f>SUM(B3:B4)</f>
        <v>436391</v>
      </c>
    </row>
    <row r="7" spans="1:3" ht="18.75" x14ac:dyDescent="0.3">
      <c r="A7" s="6" t="s">
        <v>66</v>
      </c>
      <c r="B7" s="6"/>
    </row>
    <row r="8" spans="1:3" x14ac:dyDescent="0.25">
      <c r="A8" s="1" t="s">
        <v>33</v>
      </c>
      <c r="B8" s="1" t="s">
        <v>4</v>
      </c>
    </row>
    <row r="9" spans="1:3" ht="30" x14ac:dyDescent="0.25">
      <c r="A9" s="10" t="s">
        <v>64</v>
      </c>
      <c r="B9" s="12">
        <f>B5</f>
        <v>436391</v>
      </c>
    </row>
    <row r="10" spans="1:3" x14ac:dyDescent="0.25">
      <c r="A10" s="2" t="s">
        <v>38</v>
      </c>
      <c r="B10" s="3">
        <f>'Смета работ'!D6</f>
        <v>93420</v>
      </c>
    </row>
    <row r="11" spans="1:3" x14ac:dyDescent="0.25">
      <c r="A11" s="2" t="s">
        <v>39</v>
      </c>
      <c r="B11" s="3">
        <f>'Смета работ'!B11</f>
        <v>28212.84</v>
      </c>
    </row>
    <row r="12" spans="1:3" x14ac:dyDescent="0.25">
      <c r="A12" s="1" t="s">
        <v>40</v>
      </c>
      <c r="B12" s="13">
        <f>SUM(B9:B11)</f>
        <v>558023.84</v>
      </c>
    </row>
    <row r="14" spans="1:3" ht="39.75" customHeight="1" x14ac:dyDescent="0.25">
      <c r="A14" s="14" t="s">
        <v>69</v>
      </c>
      <c r="B14" s="14"/>
      <c r="C14" s="14"/>
    </row>
    <row r="15" spans="1:3" x14ac:dyDescent="0.25">
      <c r="A15" s="15" t="s">
        <v>33</v>
      </c>
      <c r="B15" s="15" t="s">
        <v>34</v>
      </c>
    </row>
    <row r="16" spans="1:3" x14ac:dyDescent="0.25">
      <c r="A16" s="2" t="s">
        <v>35</v>
      </c>
      <c r="B16" s="3">
        <f>B5/36*12</f>
        <v>145463.66666666669</v>
      </c>
    </row>
    <row r="17" spans="1:2" x14ac:dyDescent="0.25">
      <c r="A17" s="2" t="s">
        <v>36</v>
      </c>
      <c r="B17" s="3">
        <f>0.213*24*365*7</f>
        <v>13061.16</v>
      </c>
    </row>
    <row r="18" spans="1:2" x14ac:dyDescent="0.25">
      <c r="A18" s="2" t="s">
        <v>30</v>
      </c>
      <c r="B18" s="3">
        <f>25000*12</f>
        <v>300000</v>
      </c>
    </row>
    <row r="19" spans="1:2" x14ac:dyDescent="0.25">
      <c r="A19" s="2" t="s">
        <v>37</v>
      </c>
      <c r="B19" s="3">
        <f>300000*'Смета работ'!B10</f>
        <v>90600</v>
      </c>
    </row>
    <row r="20" spans="1:2" x14ac:dyDescent="0.25">
      <c r="A20" s="1" t="s">
        <v>40</v>
      </c>
      <c r="B20" s="13">
        <f>SUM(B16:B19)</f>
        <v>549124.82666666666</v>
      </c>
    </row>
    <row r="23" spans="1:2" x14ac:dyDescent="0.25">
      <c r="A23" s="11"/>
      <c r="B23" s="11"/>
    </row>
    <row r="31" spans="1:2" x14ac:dyDescent="0.25">
      <c r="A31" s="11"/>
      <c r="B31" s="11"/>
    </row>
  </sheetData>
  <mergeCells count="5">
    <mergeCell ref="A7:B7"/>
    <mergeCell ref="A1:B1"/>
    <mergeCell ref="A23:B23"/>
    <mergeCell ref="A31:B31"/>
    <mergeCell ref="A14:C1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Активное</vt:lpstr>
      <vt:lpstr>Пассивное</vt:lpstr>
      <vt:lpstr>ПО(-)</vt:lpstr>
      <vt:lpstr>Оплата труда</vt:lpstr>
      <vt:lpstr>Смета работ</vt:lpstr>
      <vt:lpstr>ИТОГО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2026-05-18T01:04:09Z</dcterms:modified>
</cp:coreProperties>
</file>