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3"/>
  </bookViews>
  <sheets>
    <sheet name="Активное" sheetId="1" r:id="rId1"/>
    <sheet name="Пассивное" sheetId="2" r:id="rId2"/>
    <sheet name="ПО" sheetId="3" r:id="rId3"/>
    <sheet name="Оплата труда" sheetId="4" r:id="rId4"/>
    <sheet name="Сметная стоимость" sheetId="5" r:id="rId5"/>
  </sheets>
  <calcPr calcId="152511"/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2" i="2"/>
  <c r="B17" i="2"/>
  <c r="B17" i="1"/>
</calcChain>
</file>

<file path=xl/sharedStrings.xml><?xml version="1.0" encoding="utf-8"?>
<sst xmlns="http://schemas.openxmlformats.org/spreadsheetml/2006/main" count="125" uniqueCount="88">
  <si>
    <t>№</t>
  </si>
  <si>
    <t>Наименование</t>
  </si>
  <si>
    <t>Кол-во</t>
  </si>
  <si>
    <t>Цена за ед., руб.</t>
  </si>
  <si>
    <t>Сумма, руб.</t>
  </si>
  <si>
    <t>Ссылка на источник</t>
  </si>
  <si>
    <t>Точка доступа</t>
  </si>
  <si>
    <t>Eltex WEP-200L 802.11 ac</t>
  </si>
  <si>
    <t>Ethernet-коммутатор</t>
  </si>
  <si>
    <t>Eltex MES2408</t>
  </si>
  <si>
    <t>Сервер (ПК в сборке)</t>
  </si>
  <si>
    <t>Характеристики</t>
  </si>
  <si>
    <t>Розетка RJ-45 (одноместная)</t>
  </si>
  <si>
    <t>Розетка RJ-45 (двухместная)</t>
  </si>
  <si>
    <t>Патч-панель 12 портов</t>
  </si>
  <si>
    <t>Коннекторы RJ-45 (100 шт.)</t>
  </si>
  <si>
    <t>Маркеры кабельные (50 шт.)</t>
  </si>
  <si>
    <t>Самоклеящиеся</t>
  </si>
  <si>
    <t>Стяжки нейлоновые (100 шт.)</t>
  </si>
  <si>
    <t>100×2,5 мм</t>
  </si>
  <si>
    <t>Кронштейн для точки доступа</t>
  </si>
  <si>
    <t>Должность</t>
  </si>
  <si>
    <t>Системный архитектор</t>
  </si>
  <si>
    <t>Инженер-монтажник</t>
  </si>
  <si>
    <t>Инженер-наладчик</t>
  </si>
  <si>
    <t>Этап</t>
  </si>
  <si>
    <t>Трудоёмкость, чел.-час</t>
  </si>
  <si>
    <t>Разработка проекта и документации</t>
  </si>
  <si>
    <t>Монтаж и установка</t>
  </si>
  <si>
    <t>Пуско-наладочные работы</t>
  </si>
  <si>
    <t>Оплата труда администратора (0,5 ставки)</t>
  </si>
  <si>
    <t>Тип оборудования</t>
  </si>
  <si>
    <t>417 091</t>
  </si>
  <si>
    <t>19 300</t>
  </si>
  <si>
    <t>Итого оборудование</t>
  </si>
  <si>
    <t>436 391</t>
  </si>
  <si>
    <t>Активное оборудование</t>
  </si>
  <si>
    <t>Пассивное оборудование</t>
  </si>
  <si>
    <t>28 560</t>
  </si>
  <si>
    <t>32 160</t>
  </si>
  <si>
    <t>32 700</t>
  </si>
  <si>
    <t>Итого оплата труда</t>
  </si>
  <si>
    <t>93 420</t>
  </si>
  <si>
    <t>Страховые взносы (30,2%)</t>
  </si>
  <si>
    <t>28 213</t>
  </si>
  <si>
    <t>Расчёт затрат на оплату труда и страховых взносов</t>
  </si>
  <si>
    <t>Расчёт затрат на оборудование</t>
  </si>
  <si>
    <t>Статья затрат</t>
  </si>
  <si>
    <t>Расчёт</t>
  </si>
  <si>
    <t>Амортизация оборудования</t>
  </si>
  <si>
    <t>436 391 / 36 мес. × 12 мес.</t>
  </si>
  <si>
    <t>Затраты на электроэнергию</t>
  </si>
  <si>
    <t>0,213 кВт × 24 ч × 365 дн × 7 руб.</t>
  </si>
  <si>
    <t>25 000 руб./мес. × 12 мес.</t>
  </si>
  <si>
    <t>Страховые взносы на администратора</t>
  </si>
  <si>
    <t>300 000 × 0,302</t>
  </si>
  <si>
    <t>Итого годовые эксплуатационные затраты</t>
  </si>
  <si>
    <t xml:space="preserve">Расчёт годовых эксплуатационных затрат
</t>
  </si>
  <si>
    <t>Сводная смета затрат</t>
  </si>
  <si>
    <t>Оборудование (активное и пассивное)</t>
  </si>
  <si>
    <t>Лицензионное программное обеспечение</t>
  </si>
  <si>
    <t>433 500</t>
  </si>
  <si>
    <t>Оплата труда работников</t>
  </si>
  <si>
    <t>Страховые взносы</t>
  </si>
  <si>
    <t>Итого единовременные затраты</t>
  </si>
  <si>
    <t>991 524</t>
  </si>
  <si>
    <t>Годовые эксплуатационные затраты</t>
  </si>
  <si>
    <t>549 125</t>
  </si>
  <si>
    <t>Всего за первый год</t>
  </si>
  <si>
    <t>1 540 649</t>
  </si>
  <si>
    <t>Итого:</t>
  </si>
  <si>
    <t>Кол-во лицензий</t>
  </si>
  <si>
    <t>Astra Linux Special Edition</t>
  </si>
  <si>
    <t>21 675</t>
  </si>
  <si>
    <t>Модель / Характеристики</t>
  </si>
  <si>
    <t>Intel Core i5 / 16 ГБ ОЗУ / 2×1 ТБ HDD (RAID 1)</t>
  </si>
  <si>
    <t>ИБП для сервера</t>
  </si>
  <si>
    <t>1000 ВА</t>
  </si>
  <si>
    <t>ИБП для коммутатора</t>
  </si>
  <si>
    <t>500 ВА</t>
  </si>
  <si>
    <t>Кабель UTP cat.5e (бухта 305 м)</t>
  </si>
  <si>
    <t>Медный, 24 AWG</t>
  </si>
  <si>
    <t>Кабельный канал 40×20 мм (2 м)</t>
  </si>
  <si>
    <t>Пластиковый</t>
  </si>
  <si>
    <t>Категория 5e</t>
  </si>
  <si>
    <t>Категория 5e, 19"</t>
  </si>
  <si>
    <t>Для настенного/потолочного монтажа</t>
  </si>
  <si>
    <t>Часовая ставка, руб.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</si>
</sst>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H13" sqref="H13"/>
    </sheetView>
  </sheetViews>
  <sheetFormatPr defaultRowHeight="15" x14ac:dyDescent="0.25"/>
  <cols>
    <col min="2" max="2" width="9.5703125" bestFit="1" customWidth="1"/>
    <col min="6" max="6" width="9.5703125" bestFit="1" customWidth="1"/>
  </cols>
  <sheetData>
    <row r="1" spans="1:5" x14ac:dyDescent="0.25">
      <c r="A1" t="s">
        <v>0</v>
      </c>
      <c r="B1" t="s">
        <v>1</v>
      </c>
      <c r="C1" t="s">
        <v>74</v>
      </c>
      <c r="D1" t="s">
        <v>2</v>
      </c>
      <c r="E1" t="s">
        <v>3</v>
      </c>
    </row>
    <row r="2" spans="1:5" x14ac:dyDescent="0.25">
      <c r="A2">
        <v>1</v>
      </c>
      <c r="B2" t="s">
        <v>6</v>
      </c>
      <c r="C2" t="s">
        <v>7</v>
      </c>
      <c r="D2">
        <v>4</v>
      </c>
      <c r="E2">
        <v>71205</v>
      </c>
    </row>
    <row r="3" spans="1:5" x14ac:dyDescent="0.25">
      <c r="A3">
        <v>2</v>
      </c>
      <c r="B3" t="s">
        <v>8</v>
      </c>
      <c r="C3" t="s">
        <v>9</v>
      </c>
      <c r="D3">
        <v>1</v>
      </c>
      <c r="E3">
        <v>66791</v>
      </c>
    </row>
    <row r="4" spans="1:5" x14ac:dyDescent="0.25">
      <c r="A4">
        <v>3</v>
      </c>
      <c r="B4" t="s">
        <v>10</v>
      </c>
      <c r="C4" t="s">
        <v>75</v>
      </c>
      <c r="D4">
        <v>1</v>
      </c>
      <c r="E4">
        <v>52000</v>
      </c>
    </row>
    <row r="5" spans="1:5" x14ac:dyDescent="0.25">
      <c r="A5">
        <v>4</v>
      </c>
      <c r="B5" t="s">
        <v>76</v>
      </c>
      <c r="C5" t="s">
        <v>77</v>
      </c>
      <c r="D5">
        <v>1</v>
      </c>
      <c r="E5">
        <v>7490</v>
      </c>
    </row>
    <row r="6" spans="1:5" x14ac:dyDescent="0.25">
      <c r="A6">
        <v>5</v>
      </c>
      <c r="B6" t="s">
        <v>78</v>
      </c>
      <c r="C6" t="s">
        <v>79</v>
      </c>
      <c r="D6">
        <v>1</v>
      </c>
      <c r="E6">
        <v>5990</v>
      </c>
    </row>
    <row r="17" spans="1:2" x14ac:dyDescent="0.25">
      <c r="A17" t="s">
        <v>70</v>
      </c>
      <c r="B17" s="3">
        <f>SUM(E2:E6)</f>
        <v>203476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G17" sqref="G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11</v>
      </c>
      <c r="D1" t="s">
        <v>2</v>
      </c>
      <c r="E1" t="s">
        <v>3</v>
      </c>
      <c r="F1" t="s">
        <v>4</v>
      </c>
      <c r="G1" t="s">
        <v>5</v>
      </c>
    </row>
    <row r="2" spans="1:7" x14ac:dyDescent="0.25">
      <c r="A2">
        <v>6</v>
      </c>
      <c r="B2" t="s">
        <v>80</v>
      </c>
      <c r="C2" t="s">
        <v>81</v>
      </c>
      <c r="D2">
        <v>1</v>
      </c>
      <c r="E2">
        <v>4850</v>
      </c>
      <c r="F2" s="4">
        <f>D2*E2</f>
        <v>4850</v>
      </c>
    </row>
    <row r="3" spans="1:7" x14ac:dyDescent="0.25">
      <c r="A3">
        <v>7</v>
      </c>
      <c r="B3" t="s">
        <v>82</v>
      </c>
      <c r="C3" t="s">
        <v>83</v>
      </c>
      <c r="D3">
        <v>25</v>
      </c>
      <c r="E3">
        <v>180</v>
      </c>
      <c r="F3" s="4">
        <f t="shared" ref="F3:F10" si="0">D3*E3</f>
        <v>4500</v>
      </c>
    </row>
    <row r="4" spans="1:7" x14ac:dyDescent="0.25">
      <c r="A4">
        <v>8</v>
      </c>
      <c r="B4" t="s">
        <v>12</v>
      </c>
      <c r="C4" t="s">
        <v>84</v>
      </c>
      <c r="D4">
        <v>10</v>
      </c>
      <c r="E4">
        <v>150</v>
      </c>
      <c r="F4" s="4">
        <f t="shared" si="0"/>
        <v>1500</v>
      </c>
    </row>
    <row r="5" spans="1:7" x14ac:dyDescent="0.25">
      <c r="A5">
        <v>9</v>
      </c>
      <c r="B5" t="s">
        <v>13</v>
      </c>
      <c r="C5" t="s">
        <v>84</v>
      </c>
      <c r="D5">
        <v>5</v>
      </c>
      <c r="E5">
        <v>250</v>
      </c>
      <c r="F5" s="4">
        <f t="shared" si="0"/>
        <v>1250</v>
      </c>
    </row>
    <row r="6" spans="1:7" x14ac:dyDescent="0.25">
      <c r="A6">
        <v>10</v>
      </c>
      <c r="B6" t="s">
        <v>14</v>
      </c>
      <c r="C6" t="s">
        <v>85</v>
      </c>
      <c r="D6">
        <v>2</v>
      </c>
      <c r="E6">
        <v>2100</v>
      </c>
      <c r="F6" s="4">
        <f t="shared" si="0"/>
        <v>4200</v>
      </c>
    </row>
    <row r="7" spans="1:7" x14ac:dyDescent="0.25">
      <c r="A7">
        <v>11</v>
      </c>
      <c r="B7" t="s">
        <v>15</v>
      </c>
      <c r="C7" t="s">
        <v>84</v>
      </c>
      <c r="D7">
        <v>1</v>
      </c>
      <c r="E7">
        <v>500</v>
      </c>
      <c r="F7" s="4">
        <f t="shared" si="0"/>
        <v>500</v>
      </c>
    </row>
    <row r="8" spans="1:7" x14ac:dyDescent="0.25">
      <c r="A8">
        <v>12</v>
      </c>
      <c r="B8" t="s">
        <v>16</v>
      </c>
      <c r="C8" t="s">
        <v>17</v>
      </c>
      <c r="D8">
        <v>1</v>
      </c>
      <c r="E8">
        <v>300</v>
      </c>
      <c r="F8" s="4">
        <f t="shared" si="0"/>
        <v>300</v>
      </c>
    </row>
    <row r="9" spans="1:7" x14ac:dyDescent="0.25">
      <c r="A9">
        <v>13</v>
      </c>
      <c r="B9" t="s">
        <v>18</v>
      </c>
      <c r="C9" t="s">
        <v>19</v>
      </c>
      <c r="D9">
        <v>1</v>
      </c>
      <c r="E9">
        <v>200</v>
      </c>
      <c r="F9" s="4">
        <f t="shared" si="0"/>
        <v>200</v>
      </c>
    </row>
    <row r="10" spans="1:7" x14ac:dyDescent="0.25">
      <c r="A10">
        <v>14</v>
      </c>
      <c r="B10" t="s">
        <v>20</v>
      </c>
      <c r="C10" t="s">
        <v>86</v>
      </c>
      <c r="D10">
        <v>4</v>
      </c>
      <c r="E10">
        <v>500</v>
      </c>
      <c r="F10" s="4">
        <f t="shared" si="0"/>
        <v>2000</v>
      </c>
    </row>
    <row r="17" spans="1:2" x14ac:dyDescent="0.25">
      <c r="A17" t="s">
        <v>70</v>
      </c>
      <c r="B17">
        <f>SUM(F2:F10)</f>
        <v>19300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E7" sqref="E7"/>
    </sheetView>
  </sheetViews>
  <sheetFormatPr defaultRowHeight="15" x14ac:dyDescent="0.25"/>
  <cols>
    <col min="2" max="2" width="11" customWidth="1"/>
  </cols>
  <sheetData>
    <row r="1" spans="1:6" x14ac:dyDescent="0.25">
      <c r="A1" t="s">
        <v>0</v>
      </c>
      <c r="B1" t="s">
        <v>1</v>
      </c>
      <c r="C1" t="s">
        <v>71</v>
      </c>
      <c r="D1" t="s">
        <v>3</v>
      </c>
      <c r="E1" t="s">
        <v>4</v>
      </c>
      <c r="F1" t="s">
        <v>5</v>
      </c>
    </row>
    <row r="2" spans="1:6" x14ac:dyDescent="0.25">
      <c r="A2">
        <v>1</v>
      </c>
      <c r="B2" t="s">
        <v>72</v>
      </c>
      <c r="C2">
        <v>20</v>
      </c>
      <c r="D2" t="s">
        <v>73</v>
      </c>
      <c r="E2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tabSelected="1" workbookViewId="0">
      <selection activeCell="H24" sqref="H24"/>
    </sheetView>
  </sheetViews>
  <sheetFormatPr defaultRowHeight="15" x14ac:dyDescent="0.25"/>
  <cols>
    <col min="1" max="1" width="36.5703125" customWidth="1"/>
    <col min="2" max="2" width="22.5703125" bestFit="1" customWidth="1"/>
    <col min="3" max="3" width="22.7109375" bestFit="1" customWidth="1"/>
  </cols>
  <sheetData>
    <row r="1" spans="1:4" x14ac:dyDescent="0.25">
      <c r="A1" t="s">
        <v>25</v>
      </c>
      <c r="B1" t="s">
        <v>21</v>
      </c>
      <c r="C1" t="s">
        <v>26</v>
      </c>
      <c r="D1" t="s">
        <v>87</v>
      </c>
    </row>
    <row r="2" spans="1:4" x14ac:dyDescent="0.25">
      <c r="A2" t="s">
        <v>27</v>
      </c>
      <c r="B2" t="s">
        <v>22</v>
      </c>
      <c r="C2">
        <v>80</v>
      </c>
      <c r="D2">
        <v>357</v>
      </c>
    </row>
    <row r="3" spans="1:4" x14ac:dyDescent="0.25">
      <c r="A3" t="s">
        <v>28</v>
      </c>
      <c r="B3" t="s">
        <v>23</v>
      </c>
      <c r="C3">
        <v>120</v>
      </c>
      <c r="D3">
        <v>268</v>
      </c>
    </row>
    <row r="4" spans="1:4" x14ac:dyDescent="0.25">
      <c r="A4" t="s">
        <v>29</v>
      </c>
      <c r="B4" t="s">
        <v>24</v>
      </c>
      <c r="C4">
        <v>100</v>
      </c>
      <c r="D4">
        <v>327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9"/>
  <sheetViews>
    <sheetView topLeftCell="A4" workbookViewId="0">
      <selection activeCell="F29" sqref="F29"/>
    </sheetView>
  </sheetViews>
  <sheetFormatPr defaultRowHeight="15" x14ac:dyDescent="0.25"/>
  <cols>
    <col min="1" max="1" width="35.28515625" bestFit="1" customWidth="1"/>
  </cols>
  <sheetData>
    <row r="1" spans="1:2" x14ac:dyDescent="0.25">
      <c r="A1" s="2" t="s">
        <v>46</v>
      </c>
      <c r="B1" s="2"/>
    </row>
    <row r="2" spans="1:2" x14ac:dyDescent="0.25">
      <c r="A2" t="s">
        <v>31</v>
      </c>
      <c r="B2" t="s">
        <v>4</v>
      </c>
    </row>
    <row r="3" spans="1:2" x14ac:dyDescent="0.25">
      <c r="A3" t="s">
        <v>36</v>
      </c>
      <c r="B3" t="s">
        <v>32</v>
      </c>
    </row>
    <row r="4" spans="1:2" x14ac:dyDescent="0.25">
      <c r="A4" t="s">
        <v>37</v>
      </c>
      <c r="B4" t="s">
        <v>33</v>
      </c>
    </row>
    <row r="5" spans="1:2" x14ac:dyDescent="0.25">
      <c r="A5" t="s">
        <v>34</v>
      </c>
      <c r="B5" t="s">
        <v>35</v>
      </c>
    </row>
    <row r="7" spans="1:2" ht="31.5" customHeight="1" x14ac:dyDescent="0.25">
      <c r="A7" s="1" t="s">
        <v>45</v>
      </c>
      <c r="B7" s="1"/>
    </row>
    <row r="8" spans="1:2" x14ac:dyDescent="0.25">
      <c r="A8" t="s">
        <v>25</v>
      </c>
      <c r="B8" t="s">
        <v>4</v>
      </c>
    </row>
    <row r="9" spans="1:2" x14ac:dyDescent="0.25">
      <c r="A9" t="s">
        <v>27</v>
      </c>
      <c r="B9" t="s">
        <v>38</v>
      </c>
    </row>
    <row r="10" spans="1:2" x14ac:dyDescent="0.25">
      <c r="A10" t="s">
        <v>28</v>
      </c>
      <c r="B10" t="s">
        <v>39</v>
      </c>
    </row>
    <row r="11" spans="1:2" x14ac:dyDescent="0.25">
      <c r="A11" t="s">
        <v>29</v>
      </c>
      <c r="B11" t="s">
        <v>40</v>
      </c>
    </row>
    <row r="12" spans="1:2" x14ac:dyDescent="0.25">
      <c r="A12" t="s">
        <v>41</v>
      </c>
      <c r="B12" t="s">
        <v>42</v>
      </c>
    </row>
    <row r="13" spans="1:2" x14ac:dyDescent="0.25">
      <c r="A13" t="s">
        <v>43</v>
      </c>
      <c r="B13" t="s">
        <v>44</v>
      </c>
    </row>
    <row r="15" spans="1:2" ht="30.75" customHeight="1" x14ac:dyDescent="0.25">
      <c r="A15" s="1" t="s">
        <v>45</v>
      </c>
      <c r="B15" s="1"/>
    </row>
    <row r="16" spans="1:2" x14ac:dyDescent="0.25">
      <c r="A16" t="s">
        <v>25</v>
      </c>
      <c r="B16" t="s">
        <v>4</v>
      </c>
    </row>
    <row r="17" spans="1:2" x14ac:dyDescent="0.25">
      <c r="A17" t="s">
        <v>27</v>
      </c>
      <c r="B17" t="s">
        <v>38</v>
      </c>
    </row>
    <row r="18" spans="1:2" x14ac:dyDescent="0.25">
      <c r="A18" t="s">
        <v>28</v>
      </c>
      <c r="B18" t="s">
        <v>39</v>
      </c>
    </row>
    <row r="19" spans="1:2" x14ac:dyDescent="0.25">
      <c r="A19" t="s">
        <v>29</v>
      </c>
      <c r="B19" t="s">
        <v>40</v>
      </c>
    </row>
    <row r="20" spans="1:2" x14ac:dyDescent="0.25">
      <c r="A20" t="s">
        <v>41</v>
      </c>
      <c r="B20" t="s">
        <v>42</v>
      </c>
    </row>
    <row r="21" spans="1:2" x14ac:dyDescent="0.25">
      <c r="A21" t="s">
        <v>43</v>
      </c>
      <c r="B21" t="s">
        <v>44</v>
      </c>
    </row>
    <row r="23" spans="1:2" x14ac:dyDescent="0.25">
      <c r="A23" s="1" t="s">
        <v>57</v>
      </c>
      <c r="B23" s="1"/>
    </row>
    <row r="24" spans="1:2" x14ac:dyDescent="0.25">
      <c r="A24" t="s">
        <v>47</v>
      </c>
      <c r="B24" t="s">
        <v>48</v>
      </c>
    </row>
    <row r="25" spans="1:2" x14ac:dyDescent="0.25">
      <c r="A25" t="s">
        <v>49</v>
      </c>
      <c r="B25" t="s">
        <v>50</v>
      </c>
    </row>
    <row r="26" spans="1:2" x14ac:dyDescent="0.25">
      <c r="A26" t="s">
        <v>51</v>
      </c>
      <c r="B26" t="s">
        <v>52</v>
      </c>
    </row>
    <row r="27" spans="1:2" x14ac:dyDescent="0.25">
      <c r="A27" t="s">
        <v>30</v>
      </c>
      <c r="B27" t="s">
        <v>53</v>
      </c>
    </row>
    <row r="28" spans="1:2" x14ac:dyDescent="0.25">
      <c r="A28" t="s">
        <v>54</v>
      </c>
      <c r="B28" t="s">
        <v>55</v>
      </c>
    </row>
    <row r="29" spans="1:2" x14ac:dyDescent="0.25">
      <c r="A29" t="s">
        <v>56</v>
      </c>
    </row>
    <row r="31" spans="1:2" x14ac:dyDescent="0.25">
      <c r="A31" s="1" t="s">
        <v>58</v>
      </c>
      <c r="B31" s="1"/>
    </row>
    <row r="32" spans="1:2" x14ac:dyDescent="0.25">
      <c r="A32" t="s">
        <v>47</v>
      </c>
      <c r="B32" t="s">
        <v>4</v>
      </c>
    </row>
    <row r="33" spans="1:2" x14ac:dyDescent="0.25">
      <c r="A33" t="s">
        <v>59</v>
      </c>
      <c r="B33" t="s">
        <v>35</v>
      </c>
    </row>
    <row r="34" spans="1:2" x14ac:dyDescent="0.25">
      <c r="A34" t="s">
        <v>60</v>
      </c>
      <c r="B34" t="s">
        <v>61</v>
      </c>
    </row>
    <row r="35" spans="1:2" x14ac:dyDescent="0.25">
      <c r="A35" t="s">
        <v>62</v>
      </c>
      <c r="B35" t="s">
        <v>42</v>
      </c>
    </row>
    <row r="36" spans="1:2" x14ac:dyDescent="0.25">
      <c r="A36" t="s">
        <v>63</v>
      </c>
      <c r="B36" t="s">
        <v>44</v>
      </c>
    </row>
    <row r="37" spans="1:2" x14ac:dyDescent="0.25">
      <c r="A37" t="s">
        <v>64</v>
      </c>
      <c r="B37" t="s">
        <v>65</v>
      </c>
    </row>
    <row r="38" spans="1:2" x14ac:dyDescent="0.25">
      <c r="A38" t="s">
        <v>66</v>
      </c>
      <c r="B38" t="s">
        <v>67</v>
      </c>
    </row>
    <row r="39" spans="1:2" x14ac:dyDescent="0.25">
      <c r="A39" t="s">
        <v>68</v>
      </c>
      <c r="B39" t="s">
        <v>69</v>
      </c>
    </row>
  </sheetData>
  <mergeCells count="5">
    <mergeCell ref="A7:B7"/>
    <mergeCell ref="A1:B1"/>
    <mergeCell ref="A15:B15"/>
    <mergeCell ref="A23:B23"/>
    <mergeCell ref="A31:B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Активное</vt:lpstr>
      <vt:lpstr>Пассивное</vt:lpstr>
      <vt:lpstr>ПО</vt:lpstr>
      <vt:lpstr>Оплата труда</vt:lpstr>
      <vt:lpstr>Сметная стоимость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2026-05-17T18:10:24Z</dcterms:modified>
</cp:coreProperties>
</file>